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o Forma" sheetId="2" state="visible" r:id="rId4"/>
    <sheet name="Returns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<sst xmlns="http://schemas.openxmlformats.org/spreadsheetml/2006/main" count="129" uniqueCount="124">
  <si>
    <t xml:space="preserve">Commercial Real Estate Investment Model</t>
  </si>
  <si>
    <t xml:space="preserve">Industrial Warehouse - Bay Area</t>
  </si>
  <si>
    <t xml:space="preserve">PROPERTY DETAILS</t>
  </si>
  <si>
    <t xml:space="preserve">Building Size (SF)</t>
  </si>
  <si>
    <t xml:space="preserve">Purchase Price</t>
  </si>
  <si>
    <t xml:space="preserve">Price per SF</t>
  </si>
  <si>
    <t xml:space="preserve">Closing Costs (% of Price)</t>
  </si>
  <si>
    <t xml:space="preserve">Total Acquisition Cost</t>
  </si>
  <si>
    <t xml:space="preserve">FINANCING STRUCTURE</t>
  </si>
  <si>
    <t xml:space="preserve">Down Payment %</t>
  </si>
  <si>
    <t xml:space="preserve">Equity Required</t>
  </si>
  <si>
    <t xml:space="preserve">Loan Amount</t>
  </si>
  <si>
    <t xml:space="preserve">Interest Rate</t>
  </si>
  <si>
    <t xml:space="preserve">Loan Term (Years)</t>
  </si>
  <si>
    <t xml:space="preserve">Annual Debt Service</t>
  </si>
  <si>
    <t xml:space="preserve">Monthly Debt Service</t>
  </si>
  <si>
    <t xml:space="preserve">REVENUE ASSUMPTIONS</t>
  </si>
  <si>
    <t xml:space="preserve">Annual Base Rent per SF (NNN)</t>
  </si>
  <si>
    <t xml:space="preserve">Rent Growth Rate (Annual)</t>
  </si>
  <si>
    <t xml:space="preserve">Stabilized Occupancy %</t>
  </si>
  <si>
    <t xml:space="preserve">Year 1 Occupancy %</t>
  </si>
  <si>
    <t xml:space="preserve">Other Income (% of Rent)</t>
  </si>
  <si>
    <t xml:space="preserve">OPERATING EXPENSES (NNN)</t>
  </si>
  <si>
    <t xml:space="preserve">Property Taxes ($/SF)</t>
  </si>
  <si>
    <t xml:space="preserve">Property Insurance ($/SF)</t>
  </si>
  <si>
    <t xml:space="preserve">CAM ($/SF)</t>
  </si>
  <si>
    <t xml:space="preserve">Expense Growth Rate</t>
  </si>
  <si>
    <t xml:space="preserve">LANDLORD EXPENSES</t>
  </si>
  <si>
    <t xml:space="preserve">Property Management (% Rev)</t>
  </si>
  <si>
    <t xml:space="preserve">Leasing Commissions (% Rent)</t>
  </si>
  <si>
    <t xml:space="preserve">Repairs &amp; Maintenance ($/SF)</t>
  </si>
  <si>
    <t xml:space="preserve">CAPITAL EXPENDITURES</t>
  </si>
  <si>
    <t xml:space="preserve">Initial TI ($/SF)</t>
  </si>
  <si>
    <t xml:space="preserve">Annual CapEx Reserve ($/SF)</t>
  </si>
  <si>
    <t xml:space="preserve">EXIT ASSUMPTIONS (Year 10)</t>
  </si>
  <si>
    <t xml:space="preserve">Exit Cap Rate</t>
  </si>
  <si>
    <t xml:space="preserve">Sale Costs (%)</t>
  </si>
  <si>
    <t xml:space="preserve">ANALYSIS PARAMETERS</t>
  </si>
  <si>
    <t xml:space="preserve">Discount Rate for NPV</t>
  </si>
  <si>
    <t xml:space="preserve">Target IRR</t>
  </si>
  <si>
    <t xml:space="preserve">Target Cash-on-Cash</t>
  </si>
  <si>
    <t xml:space="preserve">10-Year Pro Forma Operating Statement</t>
  </si>
  <si>
    <t xml:space="preserve">Year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</si>
  <si>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</si>
  <si>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</si>
  <si>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</si>
  <si>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</si>
  <si>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</si>
  <si>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</si>
  <si>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</si>
  <si>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</si>
  <si>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</si>
  <si>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</si>
  <si>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</si>
  <si>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REVENUE</t>
  </si>
  <si>
    <t xml:space="preserve">Base Rent ($/SF)</t>
  </si>
  <si>
    <t xml:space="preserve">Occupancy %</t>
  </si>
  <si>
    <t xml:space="preserve">Occupied SF</t>
  </si>
  <si>
    <t xml:space="preserve">Gross Rental Income</t>
  </si>
  <si>
    <t xml:space="preserve">Other Income</t>
  </si>
  <si>
    <t xml:space="preserve">TOTAL REVENUE</t>
  </si>
  <si>
    <t xml:space="preserve">OPERATING EXPENSES (Reimbursed)</t>
  </si>
  <si>
    <t xml:space="preserve">Property Taxes</t>
  </si>
  <si>
    <t xml:space="preserve">Property Insurance</t>
  </si>
  <si>
    <t xml:space="preserve">Common Area Maintenance</t>
  </si>
  <si>
    <t xml:space="preserve">Total Reimbursable Expenses</t>
  </si>
  <si>
    <t xml:space="preserve">Property Management</t>
  </si>
  <si>
    <t xml:space="preserve">Leasing Commissions</t>
  </si>
  <si>
    <t xml:space="preserve">Repairs &amp; Maintenance</t>
  </si>
  <si>
    <t xml:space="preserve">Total Landlord Expenses</t>
  </si>
  <si>
    <t xml:space="preserve">NET OPERATING INCOME (NOI)</t>
  </si>
  <si>
    <t xml:space="preserve">Initial Tenant Improvements</t>
  </si>
  <si>
    <t xml:space="preserve">Annual CapEx Reserve</t>
  </si>
  <si>
    <t xml:space="preserve">Total CapEx</t>
  </si>
  <si>
    <t xml:space="preserve">Debt Service</t>
  </si>
  <si>
    <t xml:space="preserve">CASH FLOW BEFORE TAX</t>
  </si>
  <si>
    <t xml:space="preserve">KEY METRICS</t>
  </si>
  <si>
    <t xml:space="preserve">Cap Rate</t>
  </si>
  <si>
    <t xml:space="preserve">DSCR</t>
  </si>
  <si>
    <t xml:space="preserve">Cash-on-Cash Return</t>
  </si>
  <si>
    <t xml:space="preserve">Total CF incl. Exit</t>
  </si>
  <si>
    <t xml:space="preserve">Investment Returns Analysis</t>
  </si>
  <si>
    <t xml:space="preserve">EXIT VALUE (Year 10)</t>
  </si>
  <si>
    <t xml:space="preserve">Year 11 NOI (Projected)</t>
  </si>
  <si>
    <t xml:space="preserve">Gross Sale Price</t>
  </si>
  <si>
    <t xml:space="preserve">Less: Sale Costs</t>
  </si>
  <si>
    <t xml:space="preserve">Net Sale Proceeds</t>
  </si>
  <si>
    <t xml:space="preserve">Less: Loan Balance</t>
  </si>
  <si>
    <t xml:space="preserve">Net Cash from Sale</t>
  </si>
  <si>
    <t xml:space="preserve">RETURN METRICS</t>
  </si>
  <si>
    <t xml:space="preserve">Total Equity Invested</t>
  </si>
  <si>
    <t xml:space="preserve">Total Cash Flow (Yrs 1-10)</t>
  </si>
  <si>
    <t xml:space="preserve">Total Cash Returned</t>
  </si>
  <si>
    <t xml:space="preserve">Total Profit</t>
  </si>
  <si>
    <t xml:space="preserve">Equity Multiple</t>
  </si>
  <si>
    <t xml:space="preserve">Average Annual Cash-on-Cash</t>
  </si>
  <si>
    <t xml:space="preserve">IRR (Internal Rate of Return)</t>
  </si>
  <si>
    <t xml:space="preserve">NPV (Net Present Value)</t>
  </si>
  <si>
    <t xml:space="preserve">YEAR 1 METRICS</t>
  </si>
  <si>
    <t xml:space="preserve">Year 1 NOI</t>
  </si>
  <si>
    <t xml:space="preserve">Going-In Cap Rate</t>
  </si>
  <si>
    <t xml:space="preserve">Year 1 DSCR</t>
  </si>
  <si>
    <t xml:space="preserve">Year 1 Cash-on-Cash</t>
  </si>
  <si>
    <t xml:space="preserve">INVESTMENT CRITERIA</t>
  </si>
  <si>
    <t xml:space="preserve">Metric</t>
  </si>
  <si>
    <t xml:space="preserve">Target</t>
  </si>
  <si>
    <t xml:space="preserve">Actual</t>
  </si>
  <si>
    <t xml:space="preserve">Pass/Fail</t>
  </si>
  <si>
    <t xml:space="preserve">IRR</t>
  </si>
  <si>
    <t xml:space="preserve">Cash-on-Cash (Avg)</t>
  </si>
  <si>
    <t xml:space="preserve">DSCR (Year 1)</t>
  </si>
  <si>
    <t xml:space="preserve">Sensitivity Analysis</t>
  </si>
  <si>
    <t xml:space="preserve">IRR Sensitivity: Exit Cap Rate vs Purchase Price</t>
  </si>
  <si>
    <t xml:space="preserve">Purchase Price →</t>
  </si>
  <si>
    <t xml:space="preserve">Exit Cap ↓</t>
  </si>
  <si>
    <t xml:space="preserve">Year 1 Cash-on-Cash: Rent/SF vs Occupancy</t>
  </si>
  <si>
    <t xml:space="preserve">Rent/SF →</t>
  </si>
  <si>
    <t xml:space="preserve">Occupancy ↓</t>
  </si>
  <si>
    <t xml:space="preserve">NOTES:</t>
  </si>
  <si>
    <t xml:space="preserve">• Base case assumptions linked from Inputs sheet</t>
  </si>
  <si>
    <t xml:space="preserve">• Sensitivity tables show how returns vary with key assumptions</t>
  </si>
  <si>
    <t xml:space="preserve">• IRR: Shows impact of exit cap rate and purchase price</t>
  </si>
  <si>
    <t xml:space="preserve">• Cash-on-Cash: Shows impact of rent and occupancy</t>
  </si>
  <si>
    <t xml:space="preserve">• Modify blue inputs in Inputs sheet to update entire model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</si>
</sst>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"/>
    <numFmt numFmtId="166" formatCode="\$#,##0.00"/>
    <numFmt numFmtId="167" formatCode="0.0%"/>
    <numFmt numFmtId="168" formatCode="0.00%"/>
    <numFmt numFmtId="169" formatCode="\$#,##0.00;&quot;($&quot;#,##0.00\);\-"/>
    <numFmt numFmtId="170" formatCode="0.0%;\(0.0%\);\-"/>
    <numFmt numFmtId="171" formatCode="#,##0;\(#,##0\);\-"/>
    <numFmt numFmtId="172" formatCode="#,##0"/>
    <numFmt numFmtId="173" formatCode="\$#,##0;&quot;($&quot;#,##0\);\-"/>
    <numFmt numFmtId="174" formatCode="\$#,##0;&quot;($&quot;#,##0\);\-"/>
    <numFmt numFmtId="175" formatCode="\$#,##0"/>
    <numFmt numFmtId="176" formatCode="0.00\x;\(0.00&quot;x)&quot;;\-"/>
    <numFmt numFmtId="177" formatCode="0.0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1" t="s">
        <v>3</v>
      </c>
      <c r="B5" s="5" t="n">
        <v>50000</v>
      </c>
    </row>
    <row r="6" customFormat="false" ht="15" hidden="false" customHeight="true" outlineLevel="0" collapsed="false">
      <c r="A6" s="1" t="s">
        <v>4</v>
      </c>
      <c r="B6" s="6" t="n">
        <v>10000000</v>
      </c>
    </row>
    <row r="7" customFormat="false" ht="15" hidden="false" customHeight="true" outlineLevel="0" collapsed="false">
      <c r="A7" s="1" t="s">
        <v>5</v>
      </c>
      <c r="B7" s="7" t="n">
        <f aca="false">B6/B5</f>
        <v>200</v>
      </c>
    </row>
    <row r="8" customFormat="false" ht="15" hidden="false" customHeight="true" outlineLevel="0" collapsed="false">
      <c r="A8" s="1" t="s">
        <v>6</v>
      </c>
      <c r="B8" s="8" t="n">
        <v>0.03</v>
      </c>
    </row>
    <row r="9" customFormat="false" ht="15" hidden="false" customHeight="true" outlineLevel="0" collapsed="false">
      <c r="A9" s="1" t="s">
        <v>7</v>
      </c>
      <c r="B9" s="9" t="n">
        <f aca="false">B6*(1+B8)</f>
        <v>10300000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1" t="s">
        <v>9</v>
      </c>
      <c r="B12" s="8" t="n">
        <v>0.25</v>
      </c>
    </row>
    <row r="13" customFormat="false" ht="15" hidden="false" customHeight="true" outlineLevel="0" collapsed="false">
      <c r="A13" s="1" t="s">
        <v>10</v>
      </c>
      <c r="B13" s="9" t="n">
        <f aca="false">B9*B12</f>
        <v>2575000</v>
      </c>
    </row>
    <row r="14" customFormat="false" ht="15" hidden="false" customHeight="true" outlineLevel="0" collapsed="false">
      <c r="A14" s="1" t="s">
        <v>11</v>
      </c>
      <c r="B14" s="9" t="n">
        <f aca="false">B9-B13</f>
        <v>7725000</v>
      </c>
    </row>
    <row r="15" customFormat="false" ht="15" hidden="false" customHeight="true" outlineLevel="0" collapsed="false">
      <c r="A15" s="1" t="s">
        <v>12</v>
      </c>
      <c r="B15" s="10" t="n">
        <v>0.07</v>
      </c>
    </row>
    <row r="16" customFormat="false" ht="15" hidden="false" customHeight="true" outlineLevel="0" collapsed="false">
      <c r="A16" s="1" t="s">
        <v>13</v>
      </c>
      <c r="B16" s="5" t="n">
        <v>25</v>
      </c>
    </row>
    <row r="17" customFormat="false" ht="15" hidden="false" customHeight="true" outlineLevel="0" collapsed="false">
      <c r="A17" s="1" t="s">
        <v>14</v>
      </c>
      <c r="B17" s="9" t="n">
        <f aca="false">PMT(B15,B16,-B14)</f>
        <v>662886.245529642</v>
      </c>
    </row>
    <row r="18" customFormat="false" ht="15" hidden="false" customHeight="true" outlineLevel="0" collapsed="false">
      <c r="A18" s="1" t="s">
        <v>15</v>
      </c>
      <c r="B18" s="9" t="n">
        <f aca="false">B17/12</f>
        <v>55240.5204608035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1" t="s">
        <v>17</v>
      </c>
      <c r="B21" s="11" t="n">
        <v>18</v>
      </c>
    </row>
    <row r="22" customFormat="false" ht="15" hidden="false" customHeight="true" outlineLevel="0" collapsed="false">
      <c r="A22" s="1" t="s">
        <v>18</v>
      </c>
      <c r="B22" s="8" t="n">
        <v>0.03</v>
      </c>
    </row>
    <row r="23" customFormat="false" ht="15" hidden="false" customHeight="true" outlineLevel="0" collapsed="false">
      <c r="A23" s="1" t="s">
        <v>19</v>
      </c>
      <c r="B23" s="8" t="n">
        <v>0.95</v>
      </c>
    </row>
    <row r="24" customFormat="false" ht="15" hidden="false" customHeight="true" outlineLevel="0" collapsed="false">
      <c r="A24" s="1" t="s">
        <v>20</v>
      </c>
      <c r="B24" s="8" t="n">
        <v>0.9</v>
      </c>
    </row>
    <row r="25" customFormat="false" ht="15" hidden="false" customHeight="true" outlineLevel="0" collapsed="false">
      <c r="A25" s="1" t="s">
        <v>21</v>
      </c>
      <c r="B25" s="8" t="n">
        <v>0.02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1" t="s">
        <v>23</v>
      </c>
      <c r="B28" s="11" t="n">
        <v>1.5</v>
      </c>
    </row>
    <row r="29" customFormat="false" ht="15" hidden="false" customHeight="true" outlineLevel="0" collapsed="false">
      <c r="A29" s="1" t="s">
        <v>24</v>
      </c>
      <c r="B29" s="11" t="n">
        <v>0.75</v>
      </c>
    </row>
    <row r="30" customFormat="false" ht="15" hidden="false" customHeight="true" outlineLevel="0" collapsed="false">
      <c r="A30" s="1" t="s">
        <v>25</v>
      </c>
      <c r="B30" s="11" t="n">
        <v>1.25</v>
      </c>
    </row>
    <row r="31" customFormat="false" ht="15" hidden="false" customHeight="true" outlineLevel="0" collapsed="false">
      <c r="A31" s="1" t="s">
        <v>26</v>
      </c>
      <c r="B31" s="8" t="n">
        <v>0.025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1" t="s">
        <v>28</v>
      </c>
      <c r="B34" s="8" t="n">
        <v>0.04</v>
      </c>
    </row>
    <row r="35" customFormat="false" ht="15" hidden="false" customHeight="true" outlineLevel="0" collapsed="false">
      <c r="A35" s="1" t="s">
        <v>29</v>
      </c>
      <c r="B35" s="8" t="n">
        <v>0.03</v>
      </c>
    </row>
    <row r="36" customFormat="false" ht="15" hidden="false" customHeight="true" outlineLevel="0" collapsed="false">
      <c r="A36" s="1" t="s">
        <v>30</v>
      </c>
      <c r="B36" s="11" t="n">
        <v>0.5</v>
      </c>
    </row>
    <row r="38" customFormat="false" ht="15" hidden="false" customHeight="true" outlineLevel="0" collapsed="false">
      <c r="A38" s="4" t="s">
        <v>31</v>
      </c>
    </row>
    <row r="39" customFormat="false" ht="15" hidden="false" customHeight="true" outlineLevel="0" collapsed="false">
      <c r="A39" s="1" t="s">
        <v>32</v>
      </c>
      <c r="B39" s="11" t="n">
        <v>5</v>
      </c>
    </row>
    <row r="40" customFormat="false" ht="15" hidden="false" customHeight="true" outlineLevel="0" collapsed="false">
      <c r="A40" s="1" t="s">
        <v>33</v>
      </c>
      <c r="B40" s="11" t="n">
        <v>0.75</v>
      </c>
    </row>
    <row r="42" customFormat="false" ht="15" hidden="false" customHeight="true" outlineLevel="0" collapsed="false">
      <c r="A42" s="4" t="s">
        <v>34</v>
      </c>
    </row>
    <row r="43" customFormat="false" ht="15" hidden="false" customHeight="true" outlineLevel="0" collapsed="false">
      <c r="A43" s="1" t="s">
        <v>35</v>
      </c>
      <c r="B43" s="8" t="n">
        <v>0.065</v>
      </c>
    </row>
    <row r="44" customFormat="false" ht="15" hidden="false" customHeight="true" outlineLevel="0" collapsed="false">
      <c r="A44" s="1" t="s">
        <v>36</v>
      </c>
      <c r="B44" s="8" t="n">
        <v>0.02</v>
      </c>
    </row>
    <row r="46" customFormat="false" ht="15" hidden="false" customHeight="true" outlineLevel="0" collapsed="false">
      <c r="A46" s="4" t="s">
        <v>37</v>
      </c>
    </row>
    <row r="47" customFormat="false" ht="15" hidden="false" customHeight="true" outlineLevel="0" collapsed="false">
      <c r="A47" s="1" t="s">
        <v>38</v>
      </c>
      <c r="B47" s="8" t="n">
        <v>0.1</v>
      </c>
    </row>
    <row r="48" customFormat="false" ht="15" hidden="false" customHeight="true" outlineLevel="0" collapsed="false">
      <c r="A48" s="1" t="s">
        <v>39</v>
      </c>
      <c r="B48" s="8" t="n">
        <v>0.15</v>
      </c>
    </row>
    <row r="49" customFormat="false" ht="15" hidden="false" customHeight="true" outlineLevel="0" collapsed="false">
      <c r="A49" s="1" t="s">
        <v>40</v>
      </c>
      <c r="B49" s="8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7.25" hidden="false" customHeight="true" outlineLevel="0" collapsed="false">
      <c r="A1" s="2" t="s">
        <v>41</v>
      </c>
    </row>
    <row r="3" customFormat="false" ht="15" hidden="false" customHeight="true" outlineLevel="0" collapsed="false">
      <c r="A3" s="1" t="s">
        <v>42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  <c r="H3" s="12" t="s">
        <v>49</v>
      </c>
      <c r="I3" s="12" t="s">
        <v>50</v>
      </c>
      <c r="J3" s="12" t="s">
        <v>51</v>
      </c>
      <c r="K3" s="12" t="s">
        <v>52</v>
      </c>
      <c r="L3" s="12" t="s">
        <v>53</v>
      </c>
    </row>
    <row r="5" customFormat="false" ht="15" hidden="false" customHeight="true" outlineLevel="0" collapsed="false">
      <c r="A5" s="4" t="s">
        <v>54</v>
      </c>
      <c r="N5" s="9" t="n">
        <f aca="false">L25*(1+Inputs!$B$22)</f>
        <v>1064926.84031879</v>
      </c>
    </row>
    <row r="6" customFormat="false" ht="15" hidden="false" customHeight="true" outlineLevel="0" collapsed="false">
      <c r="A6" s="1" t="s">
        <v>55</v>
      </c>
      <c r="B6" s="13" t="n">
        <v>0</v>
      </c>
      <c r="C6" s="7" t="n">
        <f aca="false">Inputs!$B$21</f>
        <v>18</v>
      </c>
      <c r="D6" s="7" t="n">
        <f aca="false">C6*(1+Inputs!$B$22)</f>
        <v>18.54</v>
      </c>
      <c r="E6" s="7" t="n">
        <f aca="false">D6*(1+Inputs!$B$22)</f>
        <v>19.0962</v>
      </c>
      <c r="F6" s="7" t="n">
        <f aca="false">E6*(1+Inputs!$B$22)</f>
        <v>19.669086</v>
      </c>
      <c r="G6" s="7" t="n">
        <f aca="false">F6*(1+Inputs!$B$22)</f>
        <v>20.25915858</v>
      </c>
      <c r="H6" s="7" t="n">
        <f aca="false">G6*(1+Inputs!$B$22)</f>
        <v>20.8669333374</v>
      </c>
      <c r="I6" s="7" t="n">
        <f aca="false">H6*(1+Inputs!$B$22)</f>
        <v>21.492941337522</v>
      </c>
      <c r="J6" s="7" t="n">
        <f aca="false">I6*(1+Inputs!$B$22)</f>
        <v>22.1377295776477</v>
      </c>
      <c r="K6" s="7" t="n">
        <f aca="false">J6*(1+Inputs!$B$22)</f>
        <v>22.8018614649771</v>
      </c>
      <c r="L6" s="7" t="n">
        <f aca="false">K6*(1+Inputs!$B$22)</f>
        <v>23.4859173089264</v>
      </c>
      <c r="N6" s="9" t="n">
        <f aca="false">N5/Inputs!$B$43</f>
        <v>16383489.8510583</v>
      </c>
    </row>
    <row r="7" customFormat="false" ht="15" hidden="false" customHeight="true" outlineLevel="0" collapsed="false">
      <c r="A7" s="1" t="s">
        <v>56</v>
      </c>
      <c r="B7" s="14" t="n">
        <v>0</v>
      </c>
      <c r="C7" s="15" t="n">
        <f aca="false">Inputs!$B$24</f>
        <v>0.9</v>
      </c>
      <c r="D7" s="15" t="n">
        <f aca="false">Inputs!$B$23</f>
        <v>0.95</v>
      </c>
      <c r="E7" s="15" t="n">
        <f aca="false">Inputs!$B$23</f>
        <v>0.95</v>
      </c>
      <c r="F7" s="15" t="n">
        <f aca="false">Inputs!$B$23</f>
        <v>0.95</v>
      </c>
      <c r="G7" s="15" t="n">
        <f aca="false">Inputs!$B$23</f>
        <v>0.95</v>
      </c>
      <c r="H7" s="15" t="n">
        <f aca="false">Inputs!$B$23</f>
        <v>0.95</v>
      </c>
      <c r="I7" s="15" t="n">
        <f aca="false">Inputs!$B$23</f>
        <v>0.95</v>
      </c>
      <c r="J7" s="15" t="n">
        <f aca="false">Inputs!$B$23</f>
        <v>0.95</v>
      </c>
      <c r="K7" s="15" t="n">
        <f aca="false">Inputs!$B$23</f>
        <v>0.95</v>
      </c>
      <c r="L7" s="15" t="n">
        <f aca="false">Inputs!$B$23</f>
        <v>0.95</v>
      </c>
      <c r="N7" s="9" t="n">
        <f aca="false">N6*Inputs!$B$44</f>
        <v>327669.797021167</v>
      </c>
    </row>
    <row r="8" customFormat="false" ht="15" hidden="false" customHeight="true" outlineLevel="0" collapsed="false">
      <c r="A8" s="1" t="s">
        <v>57</v>
      </c>
      <c r="B8" s="16" t="n">
        <v>0</v>
      </c>
      <c r="C8" s="17" t="n">
        <f aca="false">Inputs!$B$5*C7</f>
        <v>45000</v>
      </c>
      <c r="D8" s="17" t="n">
        <f aca="false">Inputs!$B$5*D7</f>
        <v>47500</v>
      </c>
      <c r="E8" s="17" t="n">
        <f aca="false">Inputs!$B$5*E7</f>
        <v>47500</v>
      </c>
      <c r="F8" s="17" t="n">
        <f aca="false">Inputs!$B$5*F7</f>
        <v>47500</v>
      </c>
      <c r="G8" s="17" t="n">
        <f aca="false">Inputs!$B$5*G7</f>
        <v>47500</v>
      </c>
      <c r="H8" s="17" t="n">
        <f aca="false">Inputs!$B$5*H7</f>
        <v>47500</v>
      </c>
      <c r="I8" s="17" t="n">
        <f aca="false">Inputs!$B$5*I7</f>
        <v>47500</v>
      </c>
      <c r="J8" s="17" t="n">
        <f aca="false">Inputs!$B$5*J7</f>
        <v>47500</v>
      </c>
      <c r="K8" s="17" t="n">
        <f aca="false">Inputs!$B$5*K7</f>
        <v>47500</v>
      </c>
      <c r="L8" s="17" t="n">
        <f aca="false">Inputs!$B$5*L7</f>
        <v>47500</v>
      </c>
      <c r="N8" s="9" t="n">
        <f aca="false">N6-N7</f>
        <v>16055820.0540372</v>
      </c>
    </row>
    <row r="9" customFormat="false" ht="15" hidden="false" customHeight="true" outlineLevel="0" collapsed="false">
      <c r="A9" s="1" t="s">
        <v>58</v>
      </c>
      <c r="B9" s="18" t="n">
        <v>0</v>
      </c>
      <c r="C9" s="9" t="n">
        <f aca="false">C6*C8</f>
        <v>810000</v>
      </c>
      <c r="D9" s="9" t="n">
        <f aca="false">D6*D8</f>
        <v>880650</v>
      </c>
      <c r="E9" s="9" t="n">
        <f aca="false">E6*E8</f>
        <v>907069.5</v>
      </c>
      <c r="F9" s="9" t="n">
        <f aca="false">F6*F8</f>
        <v>934281.585</v>
      </c>
      <c r="G9" s="9" t="n">
        <f aca="false">G6*G8</f>
        <v>962310.03255</v>
      </c>
      <c r="H9" s="9" t="n">
        <f aca="false">H6*H8</f>
        <v>991179.3335265</v>
      </c>
      <c r="I9" s="9" t="n">
        <f aca="false">I6*I8</f>
        <v>1020914.7135323</v>
      </c>
      <c r="J9" s="9" t="n">
        <f aca="false">J6*J8</f>
        <v>1051542.15493826</v>
      </c>
      <c r="K9" s="9" t="n">
        <f aca="false">K6*K8</f>
        <v>1083088.41958641</v>
      </c>
      <c r="L9" s="9" t="n">
        <f aca="false">L6*L8</f>
        <v>1115581.072174</v>
      </c>
      <c r="N9" s="9" t="n">
        <f aca="false">FV(Inputs!$B$15,10,-Inputs!$B$17,Inputs!$B$14)</f>
        <v>-6037510.91945365</v>
      </c>
    </row>
    <row r="10" customFormat="false" ht="15" hidden="false" customHeight="true" outlineLevel="0" collapsed="false">
      <c r="A10" s="1" t="s">
        <v>59</v>
      </c>
      <c r="B10" s="18" t="n">
        <v>0</v>
      </c>
      <c r="C10" s="9" t="n">
        <f aca="false">C9*Inputs!$B$25</f>
        <v>16200</v>
      </c>
      <c r="D10" s="9" t="n">
        <f aca="false">D9*Inputs!$B$25</f>
        <v>17613</v>
      </c>
      <c r="E10" s="9" t="n">
        <f aca="false">E9*Inputs!$B$25</f>
        <v>18141.39</v>
      </c>
      <c r="F10" s="9" t="n">
        <f aca="false">F9*Inputs!$B$25</f>
        <v>18685.6317</v>
      </c>
      <c r="G10" s="9" t="n">
        <f aca="false">G9*Inputs!$B$25</f>
        <v>19246.200651</v>
      </c>
      <c r="H10" s="9" t="n">
        <f aca="false">H9*Inputs!$B$25</f>
        <v>19823.58667053</v>
      </c>
      <c r="I10" s="9" t="n">
        <f aca="false">I9*Inputs!$B$25</f>
        <v>20418.2942706459</v>
      </c>
      <c r="J10" s="9" t="n">
        <f aca="false">J9*Inputs!$B$25</f>
        <v>21030.8430987653</v>
      </c>
      <c r="K10" s="9" t="n">
        <f aca="false">K9*Inputs!$B$25</f>
        <v>21661.7683917282</v>
      </c>
      <c r="L10" s="9" t="n">
        <f aca="false">L9*Inputs!$B$25</f>
        <v>22311.6214434801</v>
      </c>
      <c r="N10" s="9" t="n">
        <f aca="false">N8+N9</f>
        <v>10018309.1345835</v>
      </c>
    </row>
    <row r="11" customFormat="false" ht="15" hidden="false" customHeight="true" outlineLevel="0" collapsed="false">
      <c r="A11" s="19" t="s">
        <v>60</v>
      </c>
      <c r="B11" s="18" t="n">
        <v>0</v>
      </c>
      <c r="C11" s="20" t="n">
        <f aca="false">C10+C9</f>
        <v>826200</v>
      </c>
      <c r="D11" s="20" t="n">
        <f aca="false">D10+D9</f>
        <v>898263</v>
      </c>
      <c r="E11" s="20" t="n">
        <f aca="false">E10+E9</f>
        <v>925210.89</v>
      </c>
      <c r="F11" s="20" t="n">
        <f aca="false">F10+F9</f>
        <v>952967.2167</v>
      </c>
      <c r="G11" s="20" t="n">
        <f aca="false">G10+G9</f>
        <v>981556.233201</v>
      </c>
      <c r="H11" s="20" t="n">
        <f aca="false">H10+H9</f>
        <v>1011002.92019703</v>
      </c>
      <c r="I11" s="20" t="n">
        <f aca="false">I10+I9</f>
        <v>1041333.00780294</v>
      </c>
      <c r="J11" s="20" t="n">
        <f aca="false">J10+J9</f>
        <v>1072572.99803703</v>
      </c>
      <c r="K11" s="20" t="n">
        <f aca="false">K10+K9</f>
        <v>1104750.18797814</v>
      </c>
      <c r="L11" s="20" t="n">
        <f aca="false">L10+L9</f>
        <v>1137892.69361748</v>
      </c>
    </row>
    <row r="13" customFormat="false" ht="15" hidden="false" customHeight="true" outlineLevel="0" collapsed="false">
      <c r="A13" s="4" t="s">
        <v>61</v>
      </c>
    </row>
    <row r="14" customFormat="false" ht="15" hidden="false" customHeight="true" outlineLevel="0" collapsed="false">
      <c r="A14" s="1" t="s">
        <v>62</v>
      </c>
      <c r="B14" s="18" t="n">
        <v>0</v>
      </c>
      <c r="C14" s="9" t="n">
        <f aca="false">Inputs!$B$5*Inputs!$B$28</f>
        <v>75000</v>
      </c>
      <c r="D14" s="9" t="n">
        <f aca="false">C14*(1+Inputs!$B$31)</f>
        <v>76875</v>
      </c>
      <c r="E14" s="9" t="n">
        <f aca="false">D14*(1+Inputs!$B$31)</f>
        <v>78796.875</v>
      </c>
      <c r="F14" s="9" t="n">
        <f aca="false">E14*(1+Inputs!$B$31)</f>
        <v>80766.796875</v>
      </c>
      <c r="G14" s="9" t="n">
        <f aca="false">F14*(1+Inputs!$B$31)</f>
        <v>82785.966796875</v>
      </c>
      <c r="H14" s="9" t="n">
        <f aca="false">G14*(1+Inputs!$B$31)</f>
        <v>84855.6159667969</v>
      </c>
      <c r="I14" s="9" t="n">
        <f aca="false">H14*(1+Inputs!$B$31)</f>
        <v>86977.0063659668</v>
      </c>
      <c r="J14" s="9" t="n">
        <f aca="false">I14*(1+Inputs!$B$31)</f>
        <v>89151.4315251159</v>
      </c>
      <c r="K14" s="9" t="n">
        <f aca="false">J14*(1+Inputs!$B$31)</f>
        <v>91380.2173132438</v>
      </c>
      <c r="L14" s="9" t="n">
        <f aca="false">K14*(1+Inputs!$B$31)</f>
        <v>93664.7227460749</v>
      </c>
    </row>
    <row r="15" customFormat="false" ht="15" hidden="false" customHeight="true" outlineLevel="0" collapsed="false">
      <c r="A15" s="1" t="s">
        <v>63</v>
      </c>
      <c r="B15" s="18" t="n">
        <v>0</v>
      </c>
      <c r="C15" s="9" t="n">
        <f aca="false">Inputs!$B$5*Inputs!$B$29</f>
        <v>37500</v>
      </c>
      <c r="D15" s="9" t="n">
        <f aca="false">C15*(1+Inputs!$B$31)</f>
        <v>38437.5</v>
      </c>
      <c r="E15" s="9" t="n">
        <f aca="false">D15*(1+Inputs!$B$31)</f>
        <v>39398.4375</v>
      </c>
      <c r="F15" s="9" t="n">
        <f aca="false">E15*(1+Inputs!$B$31)</f>
        <v>40383.3984375</v>
      </c>
      <c r="G15" s="9" t="n">
        <f aca="false">F15*(1+Inputs!$B$31)</f>
        <v>41392.9833984375</v>
      </c>
      <c r="H15" s="9" t="n">
        <f aca="false">G15*(1+Inputs!$B$31)</f>
        <v>42427.8079833984</v>
      </c>
      <c r="I15" s="9" t="n">
        <f aca="false">H15*(1+Inputs!$B$31)</f>
        <v>43488.5031829834</v>
      </c>
      <c r="J15" s="9" t="n">
        <f aca="false">I15*(1+Inputs!$B$31)</f>
        <v>44575.715762558</v>
      </c>
      <c r="K15" s="9" t="n">
        <f aca="false">J15*(1+Inputs!$B$31)</f>
        <v>45690.1086566219</v>
      </c>
      <c r="L15" s="9" t="n">
        <f aca="false">K15*(1+Inputs!$B$31)</f>
        <v>46832.3613730375</v>
      </c>
    </row>
    <row r="16" customFormat="false" ht="15" hidden="false" customHeight="true" outlineLevel="0" collapsed="false">
      <c r="A16" s="1" t="s">
        <v>64</v>
      </c>
      <c r="B16" s="18" t="n">
        <v>0</v>
      </c>
      <c r="C16" s="9" t="n">
        <f aca="false">Inputs!$B$5*Inputs!$B$30</f>
        <v>62500</v>
      </c>
      <c r="D16" s="9" t="n">
        <f aca="false">C16*(1+Inputs!$B$31)</f>
        <v>64062.5</v>
      </c>
      <c r="E16" s="9" t="n">
        <f aca="false">D16*(1+Inputs!$B$31)</f>
        <v>65664.0625</v>
      </c>
      <c r="F16" s="9" t="n">
        <f aca="false">E16*(1+Inputs!$B$31)</f>
        <v>67305.6640625</v>
      </c>
      <c r="G16" s="9" t="n">
        <f aca="false">F16*(1+Inputs!$B$31)</f>
        <v>68988.3056640625</v>
      </c>
      <c r="H16" s="9" t="n">
        <f aca="false">G16*(1+Inputs!$B$31)</f>
        <v>70713.0133056641</v>
      </c>
      <c r="I16" s="9" t="n">
        <f aca="false">H16*(1+Inputs!$B$31)</f>
        <v>72480.8386383057</v>
      </c>
      <c r="J16" s="9" t="n">
        <f aca="false">I16*(1+Inputs!$B$31)</f>
        <v>74292.8596042633</v>
      </c>
      <c r="K16" s="9" t="n">
        <f aca="false">J16*(1+Inputs!$B$31)</f>
        <v>76150.1810943699</v>
      </c>
      <c r="L16" s="9" t="n">
        <f aca="false">K16*(1+Inputs!$B$31)</f>
        <v>78053.9356217291</v>
      </c>
    </row>
    <row r="17" customFormat="false" ht="15" hidden="false" customHeight="true" outlineLevel="0" collapsed="false">
      <c r="A17" s="19" t="s">
        <v>65</v>
      </c>
      <c r="B17" s="18" t="n">
        <v>0</v>
      </c>
      <c r="C17" s="20" t="n">
        <f aca="false">SUM(C14:C16)</f>
        <v>175000</v>
      </c>
      <c r="D17" s="20" t="n">
        <f aca="false">SUM(D14:D16)</f>
        <v>179375</v>
      </c>
      <c r="E17" s="20" t="n">
        <f aca="false">SUM(E14:E16)</f>
        <v>183859.375</v>
      </c>
      <c r="F17" s="20" t="n">
        <f aca="false">SUM(F14:F16)</f>
        <v>188455.859375</v>
      </c>
      <c r="G17" s="20" t="n">
        <f aca="false">SUM(G14:G16)</f>
        <v>193167.255859375</v>
      </c>
      <c r="H17" s="20" t="n">
        <f aca="false">SUM(H14:H16)</f>
        <v>197996.437255859</v>
      </c>
      <c r="I17" s="20" t="n">
        <f aca="false">SUM(I14:I16)</f>
        <v>202946.348187256</v>
      </c>
      <c r="J17" s="20" t="n">
        <f aca="false">SUM(J14:J16)</f>
        <v>208020.006891937</v>
      </c>
      <c r="K17" s="20" t="n">
        <f aca="false">SUM(K14:K16)</f>
        <v>213220.507064236</v>
      </c>
      <c r="L17" s="20" t="n">
        <f aca="false">SUM(L14:L16)</f>
        <v>218551.019740842</v>
      </c>
    </row>
    <row r="19" customFormat="false" ht="15" hidden="false" customHeight="true" outlineLevel="0" collapsed="false">
      <c r="A19" s="4" t="s">
        <v>27</v>
      </c>
    </row>
    <row r="20" customFormat="false" ht="15" hidden="false" customHeight="true" outlineLevel="0" collapsed="false">
      <c r="A20" s="1" t="s">
        <v>66</v>
      </c>
      <c r="B20" s="18" t="n">
        <v>0</v>
      </c>
      <c r="C20" s="9" t="n">
        <f aca="false">C11*Inputs!$B$34</f>
        <v>33048</v>
      </c>
      <c r="D20" s="9" t="n">
        <f aca="false">D11*Inputs!$B$34</f>
        <v>35930.52</v>
      </c>
      <c r="E20" s="9" t="n">
        <f aca="false">E11*Inputs!$B$34</f>
        <v>37008.4356</v>
      </c>
      <c r="F20" s="9" t="n">
        <f aca="false">F11*Inputs!$B$34</f>
        <v>38118.688668</v>
      </c>
      <c r="G20" s="9" t="n">
        <f aca="false">G11*Inputs!$B$34</f>
        <v>39262.24932804</v>
      </c>
      <c r="H20" s="9" t="n">
        <f aca="false">H11*Inputs!$B$34</f>
        <v>40440.1168078812</v>
      </c>
      <c r="I20" s="9" t="n">
        <f aca="false">I11*Inputs!$B$34</f>
        <v>41653.3203121176</v>
      </c>
      <c r="J20" s="9" t="n">
        <f aca="false">J11*Inputs!$B$34</f>
        <v>42902.9199214812</v>
      </c>
      <c r="K20" s="9" t="n">
        <f aca="false">K11*Inputs!$B$34</f>
        <v>44190.0075191256</v>
      </c>
      <c r="L20" s="9" t="n">
        <f aca="false">L11*Inputs!$B$34</f>
        <v>45515.7077446994</v>
      </c>
    </row>
    <row r="21" customFormat="false" ht="15" hidden="false" customHeight="true" outlineLevel="0" collapsed="false">
      <c r="A21" s="1" t="s">
        <v>67</v>
      </c>
      <c r="B21" s="18" t="n">
        <v>0</v>
      </c>
      <c r="C21" s="9" t="n">
        <f aca="false">C9*Inputs!$B$35</f>
        <v>24300</v>
      </c>
      <c r="D21" s="9" t="n">
        <f aca="false">D9*Inputs!$B$35</f>
        <v>26419.5</v>
      </c>
      <c r="E21" s="9" t="n">
        <f aca="false">E9*Inputs!$B$35</f>
        <v>27212.085</v>
      </c>
      <c r="F21" s="9" t="n">
        <f aca="false">F9*Inputs!$B$35</f>
        <v>28028.44755</v>
      </c>
      <c r="G21" s="9" t="n">
        <f aca="false">G9*Inputs!$B$35</f>
        <v>28869.3009765</v>
      </c>
      <c r="H21" s="9" t="n">
        <f aca="false">H9*Inputs!$B$35</f>
        <v>29735.380005795</v>
      </c>
      <c r="I21" s="9" t="n">
        <f aca="false">I9*Inputs!$B$35</f>
        <v>30627.4414059689</v>
      </c>
      <c r="J21" s="9" t="n">
        <f aca="false">J9*Inputs!$B$35</f>
        <v>31546.2646481479</v>
      </c>
      <c r="K21" s="9" t="n">
        <f aca="false">K9*Inputs!$B$35</f>
        <v>32492.6525875924</v>
      </c>
      <c r="L21" s="9" t="n">
        <f aca="false">L9*Inputs!$B$35</f>
        <v>33467.4321652201</v>
      </c>
    </row>
    <row r="22" customFormat="false" ht="15" hidden="false" customHeight="true" outlineLevel="0" collapsed="false">
      <c r="A22" s="1" t="s">
        <v>68</v>
      </c>
      <c r="B22" s="18" t="n">
        <v>0</v>
      </c>
      <c r="C22" s="9" t="n">
        <f aca="false">Inputs!$B$5*Inputs!$B$36</f>
        <v>25000</v>
      </c>
      <c r="D22" s="9" t="n">
        <f aca="false">Inputs!$B$5*Inputs!$B$36</f>
        <v>25000</v>
      </c>
      <c r="E22" s="9" t="n">
        <f aca="false">Inputs!$B$5*Inputs!$B$36</f>
        <v>25000</v>
      </c>
      <c r="F22" s="9" t="n">
        <f aca="false">Inputs!$B$5*Inputs!$B$36</f>
        <v>25000</v>
      </c>
      <c r="G22" s="9" t="n">
        <f aca="false">Inputs!$B$5*Inputs!$B$36</f>
        <v>25000</v>
      </c>
      <c r="H22" s="9" t="n">
        <f aca="false">Inputs!$B$5*Inputs!$B$36</f>
        <v>25000</v>
      </c>
      <c r="I22" s="9" t="n">
        <f aca="false">Inputs!$B$5*Inputs!$B$36</f>
        <v>25000</v>
      </c>
      <c r="J22" s="9" t="n">
        <f aca="false">Inputs!$B$5*Inputs!$B$36</f>
        <v>25000</v>
      </c>
      <c r="K22" s="9" t="n">
        <f aca="false">Inputs!$B$5*Inputs!$B$36</f>
        <v>25000</v>
      </c>
      <c r="L22" s="9" t="n">
        <f aca="false">Inputs!$B$5*Inputs!$B$36</f>
        <v>25000</v>
      </c>
    </row>
    <row r="23" customFormat="false" ht="15" hidden="false" customHeight="true" outlineLevel="0" collapsed="false">
      <c r="A23" s="19" t="s">
        <v>69</v>
      </c>
      <c r="B23" s="18" t="n">
        <v>0</v>
      </c>
      <c r="C23" s="20" t="n">
        <f aca="false">SUM(C20:C22)</f>
        <v>82348</v>
      </c>
      <c r="D23" s="20" t="n">
        <f aca="false">SUM(D20:D22)</f>
        <v>87350.02</v>
      </c>
      <c r="E23" s="20" t="n">
        <f aca="false">SUM(E20:E22)</f>
        <v>89220.5206</v>
      </c>
      <c r="F23" s="20" t="n">
        <f aca="false">SUM(F20:F22)</f>
        <v>91147.136218</v>
      </c>
      <c r="G23" s="20" t="n">
        <f aca="false">SUM(G20:G22)</f>
        <v>93131.55030454</v>
      </c>
      <c r="H23" s="20" t="n">
        <f aca="false">SUM(H20:H22)</f>
        <v>95175.4968136762</v>
      </c>
      <c r="I23" s="20" t="n">
        <f aca="false">SUM(I20:I22)</f>
        <v>97280.7617180865</v>
      </c>
      <c r="J23" s="20" t="n">
        <f aca="false">SUM(J20:J22)</f>
        <v>99449.1845696291</v>
      </c>
      <c r="K23" s="20" t="n">
        <f aca="false">SUM(K20:K22)</f>
        <v>101682.660106718</v>
      </c>
      <c r="L23" s="20" t="n">
        <f aca="false">SUM(L20:L22)</f>
        <v>103983.139909919</v>
      </c>
    </row>
    <row r="25" customFormat="false" ht="15" hidden="false" customHeight="true" outlineLevel="0" collapsed="false">
      <c r="A25" s="19" t="s">
        <v>70</v>
      </c>
      <c r="B25" s="21" t="n">
        <v>0</v>
      </c>
      <c r="C25" s="22" t="n">
        <f aca="false">C11-C23</f>
        <v>743852</v>
      </c>
      <c r="D25" s="22" t="n">
        <f aca="false">D11-D23</f>
        <v>810912.98</v>
      </c>
      <c r="E25" s="22" t="n">
        <f aca="false">E11-E23</f>
        <v>835990.3694</v>
      </c>
      <c r="F25" s="22" t="n">
        <f aca="false">F11-F23</f>
        <v>861820.080482</v>
      </c>
      <c r="G25" s="22" t="n">
        <f aca="false">G11-G23</f>
        <v>888424.68289646</v>
      </c>
      <c r="H25" s="22" t="n">
        <f aca="false">H11-H23</f>
        <v>915827.423383354</v>
      </c>
      <c r="I25" s="22" t="n">
        <f aca="false">I11-I23</f>
        <v>944052.246084855</v>
      </c>
      <c r="J25" s="22" t="n">
        <f aca="false">J11-J23</f>
        <v>973123.8134674</v>
      </c>
      <c r="K25" s="22" t="n">
        <f aca="false">K11-K23</f>
        <v>1003067.52787142</v>
      </c>
      <c r="L25" s="22" t="n">
        <f aca="false">L11-L23</f>
        <v>1033909.55370756</v>
      </c>
    </row>
    <row r="27" customFormat="false" ht="15" hidden="false" customHeight="true" outlineLevel="0" collapsed="false">
      <c r="A27" s="4" t="s">
        <v>31</v>
      </c>
    </row>
    <row r="28" customFormat="false" ht="15" hidden="false" customHeight="true" outlineLevel="0" collapsed="false">
      <c r="A28" s="1" t="s">
        <v>71</v>
      </c>
      <c r="B28" s="9" t="n">
        <f aca="false">Inputs!$B$5*Inputs!$B$39</f>
        <v>250000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</row>
    <row r="29" customFormat="false" ht="15" hidden="false" customHeight="true" outlineLevel="0" collapsed="false">
      <c r="A29" s="1" t="s">
        <v>72</v>
      </c>
      <c r="B29" s="18" t="n">
        <v>0</v>
      </c>
      <c r="C29" s="9" t="n">
        <f aca="false">Inputs!$B$5*Inputs!$B$40</f>
        <v>37500</v>
      </c>
      <c r="D29" s="9" t="n">
        <f aca="false">Inputs!$B$5*Inputs!$B$40</f>
        <v>37500</v>
      </c>
      <c r="E29" s="9" t="n">
        <f aca="false">Inputs!$B$5*Inputs!$B$40</f>
        <v>37500</v>
      </c>
      <c r="F29" s="9" t="n">
        <f aca="false">Inputs!$B$5*Inputs!$B$40</f>
        <v>37500</v>
      </c>
      <c r="G29" s="9" t="n">
        <f aca="false">Inputs!$B$5*Inputs!$B$40</f>
        <v>37500</v>
      </c>
      <c r="H29" s="9" t="n">
        <f aca="false">Inputs!$B$5*Inputs!$B$40</f>
        <v>37500</v>
      </c>
      <c r="I29" s="9" t="n">
        <f aca="false">Inputs!$B$5*Inputs!$B$40</f>
        <v>37500</v>
      </c>
      <c r="J29" s="9" t="n">
        <f aca="false">Inputs!$B$5*Inputs!$B$40</f>
        <v>37500</v>
      </c>
      <c r="K29" s="9" t="n">
        <f aca="false">Inputs!$B$5*Inputs!$B$40</f>
        <v>37500</v>
      </c>
      <c r="L29" s="9" t="n">
        <f aca="false">Inputs!$B$5*Inputs!$B$40</f>
        <v>37500</v>
      </c>
    </row>
    <row r="30" customFormat="false" ht="15" hidden="false" customHeight="true" outlineLevel="0" collapsed="false">
      <c r="A30" s="19" t="s">
        <v>73</v>
      </c>
      <c r="B30" s="23" t="n">
        <f aca="false">SUM(B28:B29)</f>
        <v>250000</v>
      </c>
      <c r="C30" s="23" t="n">
        <f aca="false">SUM(C28:C29)</f>
        <v>37500</v>
      </c>
      <c r="D30" s="23" t="n">
        <f aca="false">SUM(D28:D29)</f>
        <v>37500</v>
      </c>
      <c r="E30" s="23" t="n">
        <f aca="false">SUM(E28:E29)</f>
        <v>37500</v>
      </c>
      <c r="F30" s="23" t="n">
        <f aca="false">SUM(F28:F29)</f>
        <v>37500</v>
      </c>
      <c r="G30" s="23" t="n">
        <f aca="false">SUM(G28:G29)</f>
        <v>37500</v>
      </c>
      <c r="H30" s="23" t="n">
        <f aca="false">SUM(H28:H29)</f>
        <v>37500</v>
      </c>
      <c r="I30" s="23" t="n">
        <f aca="false">SUM(I28:I29)</f>
        <v>37500</v>
      </c>
      <c r="J30" s="23" t="n">
        <f aca="false">SUM(J28:J29)</f>
        <v>37500</v>
      </c>
      <c r="K30" s="23" t="n">
        <f aca="false">SUM(K28:K29)</f>
        <v>37500</v>
      </c>
      <c r="L30" s="23" t="n">
        <f aca="false">SUM(L28:L29)</f>
        <v>37500</v>
      </c>
    </row>
    <row r="32" customFormat="false" ht="15" hidden="false" customHeight="true" outlineLevel="0" collapsed="false">
      <c r="A32" s="1" t="s">
        <v>74</v>
      </c>
      <c r="B32" s="18" t="n">
        <v>0</v>
      </c>
      <c r="C32" s="9" t="n">
        <f aca="false">Inputs!$B$17</f>
        <v>662886.245529642</v>
      </c>
      <c r="D32" s="9" t="n">
        <f aca="false">Inputs!$B$17</f>
        <v>662886.245529642</v>
      </c>
      <c r="E32" s="9" t="n">
        <f aca="false">Inputs!$B$17</f>
        <v>662886.245529642</v>
      </c>
      <c r="F32" s="9" t="n">
        <f aca="false">Inputs!$B$17</f>
        <v>662886.245529642</v>
      </c>
      <c r="G32" s="9" t="n">
        <f aca="false">Inputs!$B$17</f>
        <v>662886.245529642</v>
      </c>
      <c r="H32" s="9" t="n">
        <f aca="false">Inputs!$B$17</f>
        <v>662886.245529642</v>
      </c>
      <c r="I32" s="9" t="n">
        <f aca="false">Inputs!$B$17</f>
        <v>662886.245529642</v>
      </c>
      <c r="J32" s="9" t="n">
        <f aca="false">Inputs!$B$17</f>
        <v>662886.245529642</v>
      </c>
      <c r="K32" s="9" t="n">
        <f aca="false">Inputs!$B$17</f>
        <v>662886.245529642</v>
      </c>
      <c r="L32" s="9" t="n">
        <f aca="false">Inputs!$B$17</f>
        <v>662886.245529642</v>
      </c>
    </row>
    <row r="34" customFormat="false" ht="15" hidden="false" customHeight="true" outlineLevel="0" collapsed="false">
      <c r="A34" s="19" t="s">
        <v>75</v>
      </c>
      <c r="B34" s="23" t="n">
        <f aca="false">-Inputs!$B$13-B30</f>
        <v>-2825000</v>
      </c>
      <c r="C34" s="23" t="n">
        <f aca="false">C25-C30-C32</f>
        <v>43465.7544703581</v>
      </c>
      <c r="D34" s="23" t="n">
        <f aca="false">D25-D30-D32</f>
        <v>110526.734470358</v>
      </c>
      <c r="E34" s="23" t="n">
        <f aca="false">E25-E30-E32</f>
        <v>135604.123870358</v>
      </c>
      <c r="F34" s="23" t="n">
        <f aca="false">F25-F30-F32</f>
        <v>161433.834952358</v>
      </c>
      <c r="G34" s="23" t="n">
        <f aca="false">G25-G30-G32</f>
        <v>188038.437366818</v>
      </c>
      <c r="H34" s="23" t="n">
        <f aca="false">H25-H30-H32</f>
        <v>215441.177853712</v>
      </c>
      <c r="I34" s="23" t="n">
        <f aca="false">I25-I30-I32</f>
        <v>243666.000555213</v>
      </c>
      <c r="J34" s="23" t="n">
        <f aca="false">J25-J30-J32</f>
        <v>272737.567937758</v>
      </c>
      <c r="K34" s="23" t="n">
        <f aca="false">K25-K30-K32</f>
        <v>302681.28234178</v>
      </c>
      <c r="L34" s="23" t="n">
        <f aca="false">L25-L30-L32</f>
        <v>333523.308177923</v>
      </c>
    </row>
    <row r="36" customFormat="false" ht="15" hidden="false" customHeight="true" outlineLevel="0" collapsed="false">
      <c r="A36" s="4" t="s">
        <v>76</v>
      </c>
    </row>
    <row r="37" customFormat="false" ht="15" hidden="false" customHeight="true" outlineLevel="0" collapsed="false">
      <c r="A37" s="1" t="s">
        <v>77</v>
      </c>
      <c r="B37" s="14" t="n">
        <v>0</v>
      </c>
      <c r="C37" s="15" t="n">
        <f aca="false">C25/Inputs!$B$6</f>
        <v>0.0743852</v>
      </c>
      <c r="D37" s="15" t="n">
        <f aca="false">D25/Inputs!$B$6</f>
        <v>0.081091298</v>
      </c>
      <c r="E37" s="15" t="n">
        <f aca="false">E25/Inputs!$B$6</f>
        <v>0.08359903694</v>
      </c>
      <c r="F37" s="15" t="n">
        <f aca="false">F25/Inputs!$B$6</f>
        <v>0.0861820080482</v>
      </c>
      <c r="G37" s="15" t="n">
        <f aca="false">G25/Inputs!$B$6</f>
        <v>0.088842468289646</v>
      </c>
      <c r="H37" s="15" t="n">
        <f aca="false">H25/Inputs!$B$6</f>
        <v>0.0915827423383354</v>
      </c>
      <c r="I37" s="15" t="n">
        <f aca="false">I25/Inputs!$B$6</f>
        <v>0.0944052246084855</v>
      </c>
      <c r="J37" s="15" t="n">
        <f aca="false">J25/Inputs!$B$6</f>
        <v>0.09731238134674</v>
      </c>
      <c r="K37" s="15" t="n">
        <f aca="false">K25/Inputs!$B$6</f>
        <v>0.100306752787142</v>
      </c>
      <c r="L37" s="15" t="n">
        <f aca="false">L25/Inputs!$B$6</f>
        <v>0.103390955370756</v>
      </c>
    </row>
    <row r="38" customFormat="false" ht="15" hidden="false" customHeight="true" outlineLevel="0" collapsed="false">
      <c r="A38" s="1" t="s">
        <v>78</v>
      </c>
      <c r="B38" s="24" t="n">
        <v>0</v>
      </c>
      <c r="C38" s="25" t="n">
        <f aca="false">IF(C32=0,0,C25/C32)</f>
        <v>1.12214124974892</v>
      </c>
      <c r="D38" s="25" t="n">
        <f aca="false">IF(D32=0,0,D25/D32)</f>
        <v>1.22330639000072</v>
      </c>
      <c r="E38" s="25" t="n">
        <f aca="false">IF(E32=0,0,E25/E32)</f>
        <v>1.2611369975433</v>
      </c>
      <c r="F38" s="25" t="n">
        <f aca="false">IF(F32=0,0,F25/F32)</f>
        <v>1.30010252331214</v>
      </c>
      <c r="G38" s="25" t="n">
        <f aca="false">IF(G32=0,0,G25/G32)</f>
        <v>1.34023701485406</v>
      </c>
      <c r="H38" s="25" t="n">
        <f aca="false">IF(H32=0,0,H25/H32)</f>
        <v>1.38157554114223</v>
      </c>
      <c r="I38" s="25" t="n">
        <f aca="false">IF(I32=0,0,I25/I32)</f>
        <v>1.42415422321904</v>
      </c>
      <c r="J38" s="25" t="n">
        <f aca="false">IF(J32=0,0,J25/J32)</f>
        <v>1.46801026575816</v>
      </c>
      <c r="K38" s="25" t="n">
        <f aca="false">IF(K32=0,0,K25/K32)</f>
        <v>1.51318198957346</v>
      </c>
      <c r="L38" s="25" t="n">
        <f aca="false">IF(L32=0,0,L25/L32)</f>
        <v>1.55970886510321</v>
      </c>
    </row>
    <row r="39" customFormat="false" ht="15" hidden="false" customHeight="true" outlineLevel="0" collapsed="false">
      <c r="A39" s="1" t="s">
        <v>79</v>
      </c>
      <c r="B39" s="14" t="n">
        <v>0</v>
      </c>
      <c r="C39" s="15" t="n">
        <f aca="false">C34/Inputs!$B$13</f>
        <v>0.0168799046486828</v>
      </c>
      <c r="D39" s="15" t="n">
        <f aca="false">D34/Inputs!$B$13</f>
        <v>0.042923003677809</v>
      </c>
      <c r="E39" s="15" t="n">
        <f aca="false">E34/Inputs!$B$13</f>
        <v>0.052661795677809</v>
      </c>
      <c r="F39" s="15" t="n">
        <f aca="false">F34/Inputs!$B$13</f>
        <v>0.062692751437809</v>
      </c>
      <c r="G39" s="15" t="n">
        <f aca="false">G34/Inputs!$B$13</f>
        <v>0.073024635870609</v>
      </c>
      <c r="H39" s="15" t="n">
        <f aca="false">H34/Inputs!$B$13</f>
        <v>0.0836664768363931</v>
      </c>
      <c r="I39" s="15" t="n">
        <f aca="false">I34/Inputs!$B$13</f>
        <v>0.0946275730311505</v>
      </c>
      <c r="J39" s="15" t="n">
        <f aca="false">J34/Inputs!$B$13</f>
        <v>0.105917502111751</v>
      </c>
      <c r="K39" s="15" t="n">
        <f aca="false">K34/Inputs!$B$13</f>
        <v>0.117546129064769</v>
      </c>
      <c r="L39" s="15" t="n">
        <f aca="false">L34/Inputs!$B$13</f>
        <v>0.129523614826378</v>
      </c>
    </row>
    <row r="41" customFormat="false" ht="15" hidden="false" customHeight="true" outlineLevel="0" collapsed="false">
      <c r="A41" s="19" t="s">
        <v>80</v>
      </c>
      <c r="B41" s="18" t="n">
        <f aca="false">B34</f>
        <v>-2825000</v>
      </c>
      <c r="C41" s="18" t="n">
        <f aca="false">C34</f>
        <v>43465.7544703581</v>
      </c>
      <c r="D41" s="18" t="n">
        <f aca="false">D34</f>
        <v>110526.734470358</v>
      </c>
      <c r="E41" s="18" t="n">
        <f aca="false">E34</f>
        <v>135604.123870358</v>
      </c>
      <c r="F41" s="18" t="n">
        <f aca="false">F34</f>
        <v>161433.834952358</v>
      </c>
      <c r="G41" s="18" t="n">
        <f aca="false">G34</f>
        <v>188038.437366818</v>
      </c>
      <c r="H41" s="18" t="n">
        <f aca="false">H34</f>
        <v>215441.177853712</v>
      </c>
      <c r="I41" s="18" t="n">
        <f aca="false">I34</f>
        <v>243666.000555213</v>
      </c>
      <c r="J41" s="18" t="n">
        <f aca="false">J34</f>
        <v>272737.567937758</v>
      </c>
      <c r="K41" s="18" t="n">
        <f aca="false">K34</f>
        <v>302681.28234178</v>
      </c>
      <c r="L41" s="20" t="n">
        <f aca="false">L34+N10</f>
        <v>10351832.4427614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81</v>
      </c>
    </row>
    <row r="3" customFormat="false" ht="15" hidden="false" customHeight="true" outlineLevel="0" collapsed="false">
      <c r="A3" s="4" t="s">
        <v>82</v>
      </c>
    </row>
    <row r="5" customFormat="false" ht="15" hidden="false" customHeight="true" outlineLevel="0" collapsed="false">
      <c r="A5" s="1" t="s">
        <v>83</v>
      </c>
      <c r="B5" s="9" t="n">
        <f aca="false">'Pro Forma'!N5</f>
        <v>1064926.84031879</v>
      </c>
    </row>
    <row r="6" customFormat="false" ht="15" hidden="false" customHeight="true" outlineLevel="0" collapsed="false">
      <c r="A6" s="1" t="s">
        <v>35</v>
      </c>
      <c r="B6" s="15" t="n">
        <f aca="false">Inputs!$B$43</f>
        <v>0.065</v>
      </c>
    </row>
    <row r="7" customFormat="false" ht="15" hidden="false" customHeight="true" outlineLevel="0" collapsed="false">
      <c r="A7" s="1" t="s">
        <v>84</v>
      </c>
      <c r="B7" s="9" t="n">
        <f aca="false">'Pro Forma'!N6</f>
        <v>16383489.8510583</v>
      </c>
    </row>
    <row r="8" customFormat="false" ht="15" hidden="false" customHeight="true" outlineLevel="0" collapsed="false">
      <c r="A8" s="1" t="s">
        <v>85</v>
      </c>
      <c r="B8" s="9" t="n">
        <f aca="false">'Pro Forma'!N7</f>
        <v>327669.797021167</v>
      </c>
    </row>
    <row r="9" customFormat="false" ht="15" hidden="false" customHeight="true" outlineLevel="0" collapsed="false">
      <c r="A9" s="1" t="s">
        <v>86</v>
      </c>
      <c r="B9" s="20" t="n">
        <f aca="false">'Pro Forma'!N8</f>
        <v>16055820.0540372</v>
      </c>
    </row>
    <row r="10" customFormat="false" ht="15" hidden="false" customHeight="true" outlineLevel="0" collapsed="false">
      <c r="A10" s="1" t="s">
        <v>87</v>
      </c>
      <c r="B10" s="9" t="n">
        <f aca="false">'Pro Forma'!N9</f>
        <v>-6037510.91945365</v>
      </c>
    </row>
    <row r="11" customFormat="false" ht="15" hidden="false" customHeight="true" outlineLevel="0" collapsed="false">
      <c r="A11" s="1" t="s">
        <v>88</v>
      </c>
      <c r="B11" s="20" t="n">
        <f aca="false">'Pro Forma'!N10</f>
        <v>10018309.1345835</v>
      </c>
    </row>
    <row r="13" customFormat="false" ht="15" hidden="false" customHeight="true" outlineLevel="0" collapsed="false">
      <c r="A13" s="4" t="s">
        <v>89</v>
      </c>
    </row>
    <row r="15" customFormat="false" ht="15" hidden="false" customHeight="true" outlineLevel="0" collapsed="false">
      <c r="A15" s="1" t="s">
        <v>90</v>
      </c>
      <c r="B15" s="9" t="n">
        <f aca="false">Inputs!$B$13</f>
        <v>2575000</v>
      </c>
    </row>
    <row r="16" customFormat="false" ht="15" hidden="false" customHeight="true" outlineLevel="0" collapsed="false">
      <c r="A16" s="1" t="s">
        <v>91</v>
      </c>
      <c r="B16" s="9" t="n">
        <f aca="false">SUM('Pro Forma'!C34:L34)</f>
        <v>2007118.22199664</v>
      </c>
    </row>
    <row r="17" customFormat="false" ht="15" hidden="false" customHeight="true" outlineLevel="0" collapsed="false">
      <c r="A17" s="1" t="s">
        <v>88</v>
      </c>
      <c r="B17" s="9" t="n">
        <f aca="false">B11</f>
        <v>10018309.1345835</v>
      </c>
    </row>
    <row r="18" customFormat="false" ht="15" hidden="false" customHeight="true" outlineLevel="0" collapsed="false">
      <c r="A18" s="1" t="s">
        <v>92</v>
      </c>
      <c r="B18" s="9" t="n">
        <f aca="false">B16+B17</f>
        <v>12025427.3565802</v>
      </c>
    </row>
    <row r="19" customFormat="false" ht="15" hidden="false" customHeight="true" outlineLevel="0" collapsed="false">
      <c r="A19" s="1" t="s">
        <v>93</v>
      </c>
      <c r="B19" s="20" t="n">
        <f aca="false">B18-B15</f>
        <v>9450427.35658016</v>
      </c>
    </row>
    <row r="21" customFormat="false" ht="15" hidden="false" customHeight="true" outlineLevel="0" collapsed="false">
      <c r="A21" s="1" t="s">
        <v>94</v>
      </c>
      <c r="B21" s="26" t="n">
        <f aca="false">B18/B15</f>
        <v>4.67006887634181</v>
      </c>
    </row>
    <row r="22" customFormat="false" ht="15" hidden="false" customHeight="true" outlineLevel="0" collapsed="false">
      <c r="A22" s="1" t="s">
        <v>95</v>
      </c>
      <c r="B22" s="15" t="n">
        <f aca="false">AVERAGE('Pro Forma'!C39:L39)</f>
        <v>0.077946338718316</v>
      </c>
    </row>
    <row r="23" customFormat="false" ht="15" hidden="false" customHeight="true" outlineLevel="0" collapsed="false">
      <c r="A23" s="1" t="s">
        <v>96</v>
      </c>
      <c r="B23" s="27" t="n">
        <f aca="false">IFERROR(IRR('Pro Forma'!B41:L41,0.15),0)</f>
        <v>0.17091495491669</v>
      </c>
    </row>
    <row r="24" customFormat="false" ht="15" hidden="false" customHeight="true" outlineLevel="0" collapsed="false">
      <c r="A24" s="1" t="s">
        <v>97</v>
      </c>
      <c r="B24" s="9" t="n">
        <f aca="false">NPV(Inputs!$B$47,'Pro Forma'!C33:L33)+'Pro Forma'!B33+B11/(1+Inputs!$B$47)^10</f>
        <v>3862491.85826925</v>
      </c>
    </row>
    <row r="26" customFormat="false" ht="15" hidden="false" customHeight="true" outlineLevel="0" collapsed="false">
      <c r="A26" s="4" t="s">
        <v>98</v>
      </c>
    </row>
    <row r="28" customFormat="false" ht="15" hidden="false" customHeight="true" outlineLevel="0" collapsed="false">
      <c r="A28" s="1" t="s">
        <v>99</v>
      </c>
      <c r="B28" s="9" t="n">
        <f aca="false">'Pro Forma'!C25</f>
        <v>743852</v>
      </c>
    </row>
    <row r="29" customFormat="false" ht="15" hidden="false" customHeight="true" outlineLevel="0" collapsed="false">
      <c r="A29" s="1" t="s">
        <v>100</v>
      </c>
      <c r="B29" s="15" t="n">
        <f aca="false">'Pro Forma'!C37</f>
        <v>0.0743852</v>
      </c>
    </row>
    <row r="30" customFormat="false" ht="15" hidden="false" customHeight="true" outlineLevel="0" collapsed="false">
      <c r="A30" s="1" t="s">
        <v>101</v>
      </c>
      <c r="B30" s="25" t="n">
        <f aca="false">'Pro Forma'!C38</f>
        <v>1.12214124974892</v>
      </c>
    </row>
    <row r="31" customFormat="false" ht="15" hidden="false" customHeight="true" outlineLevel="0" collapsed="false">
      <c r="A31" s="1" t="s">
        <v>102</v>
      </c>
      <c r="B31" s="15" t="n">
        <f aca="false">'Pro Forma'!C39</f>
        <v>0.0168799046486828</v>
      </c>
    </row>
    <row r="33" customFormat="false" ht="15" hidden="false" customHeight="true" outlineLevel="0" collapsed="false">
      <c r="A33" s="4" t="s">
        <v>103</v>
      </c>
    </row>
    <row r="35" customFormat="false" ht="15" hidden="false" customHeight="true" outlineLevel="0" collapsed="false">
      <c r="A35" s="19" t="s">
        <v>104</v>
      </c>
      <c r="B35" s="19" t="s">
        <v>105</v>
      </c>
      <c r="C35" s="19" t="s">
        <v>106</v>
      </c>
      <c r="D35" s="19" t="s">
        <v>107</v>
      </c>
    </row>
    <row r="36" customFormat="false" ht="15" hidden="false" customHeight="true" outlineLevel="0" collapsed="false">
      <c r="A36" s="1" t="s">
        <v>108</v>
      </c>
      <c r="B36" s="15" t="n">
        <f aca="false">Inputs!$B$48</f>
        <v>0.15</v>
      </c>
      <c r="C36" s="15" t="n">
        <f aca="false">B23</f>
        <v>0.17091495491669</v>
      </c>
      <c r="D36" s="1" t="str">
        <f aca="false">IF(C36&gt;=B36,"PASS","FAIL")</f>
        <v>PASS</v>
      </c>
    </row>
    <row r="37" customFormat="false" ht="15" hidden="false" customHeight="true" outlineLevel="0" collapsed="false">
      <c r="A37" s="1" t="s">
        <v>109</v>
      </c>
      <c r="B37" s="15" t="n">
        <f aca="false">Inputs!$B$49</f>
        <v>0.08</v>
      </c>
      <c r="C37" s="15" t="n">
        <f aca="false">B22</f>
        <v>0.077946338718316</v>
      </c>
      <c r="D37" s="1" t="str">
        <f aca="false">IF(C37&gt;=B37,"PASS","FAIL")</f>
        <v>FAIL</v>
      </c>
    </row>
    <row r="38" customFormat="false" ht="15" hidden="false" customHeight="true" outlineLevel="0" collapsed="false">
      <c r="A38" s="1" t="s">
        <v>110</v>
      </c>
      <c r="B38" s="28" t="n">
        <v>1.25</v>
      </c>
      <c r="C38" s="25" t="n">
        <f aca="false">IF(B30=0,0,B30)</f>
        <v>1.12214124974892</v>
      </c>
      <c r="D38" s="1" t="str">
        <f aca="false">IF(C38&gt;=B38,"PASS","FAIL")</f>
        <v>FAIL</v>
      </c>
    </row>
    <row r="39" customFormat="false" ht="15" hidden="false" customHeight="true" outlineLevel="0" collapsed="false">
      <c r="A39" s="1" t="s">
        <v>94</v>
      </c>
      <c r="B39" s="28" t="n">
        <v>2</v>
      </c>
      <c r="C39" s="25" t="n">
        <f aca="false">B21</f>
        <v>4.67006887634181</v>
      </c>
      <c r="D39" s="1" t="str">
        <f aca="false">IF(C39&gt;=B39,"PASS","FAIL")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2" t="s">
        <v>111</v>
      </c>
    </row>
    <row r="3" customFormat="false" ht="15" hidden="false" customHeight="true" outlineLevel="0" collapsed="false">
      <c r="A3" s="3" t="s">
        <v>112</v>
      </c>
    </row>
    <row r="4" customFormat="false" ht="15" hidden="false" customHeight="true" outlineLevel="0" collapsed="false">
      <c r="B4" s="19" t="s">
        <v>113</v>
      </c>
      <c r="C4" s="20" t="n">
        <v>8000000</v>
      </c>
      <c r="D4" s="20" t="n">
        <v>9000000</v>
      </c>
      <c r="E4" s="20" t="n">
        <v>10000000</v>
      </c>
      <c r="F4" s="20" t="n">
        <v>11000000</v>
      </c>
      <c r="G4" s="20" t="n">
        <v>12000000</v>
      </c>
    </row>
    <row r="5" customFormat="false" ht="15" hidden="false" customHeight="true" outlineLevel="0" collapsed="false">
      <c r="A5" s="19" t="s">
        <v>114</v>
      </c>
      <c r="B5" s="27" t="n">
        <v>0.055</v>
      </c>
      <c r="C5" s="15" t="n">
        <v>0.18</v>
      </c>
      <c r="D5" s="15" t="n">
        <v>0.16</v>
      </c>
      <c r="E5" s="15" t="n">
        <v>0.14</v>
      </c>
      <c r="F5" s="15" t="n">
        <v>0.12</v>
      </c>
      <c r="G5" s="15" t="n">
        <v>0.11</v>
      </c>
    </row>
    <row r="6" customFormat="false" ht="15" hidden="false" customHeight="true" outlineLevel="0" collapsed="false">
      <c r="B6" s="27" t="n">
        <v>0.06</v>
      </c>
      <c r="C6" s="15" t="n">
        <v>0.17</v>
      </c>
      <c r="D6" s="15" t="n">
        <v>0.15</v>
      </c>
      <c r="E6" s="15" t="n">
        <v>0.13</v>
      </c>
      <c r="F6" s="15" t="n">
        <v>0.11</v>
      </c>
      <c r="G6" s="15" t="n">
        <v>0.1</v>
      </c>
    </row>
    <row r="7" customFormat="false" ht="15" hidden="false" customHeight="true" outlineLevel="0" collapsed="false">
      <c r="B7" s="27" t="n">
        <v>0.065</v>
      </c>
      <c r="C7" s="15" t="n">
        <v>0.16</v>
      </c>
      <c r="D7" s="15" t="n">
        <v>0.14</v>
      </c>
      <c r="E7" s="15" t="n">
        <f aca="false">Returns!B23</f>
        <v>0.17091495491669</v>
      </c>
      <c r="F7" s="15" t="n">
        <v>0.1</v>
      </c>
      <c r="G7" s="15" t="n">
        <v>0.09</v>
      </c>
    </row>
    <row r="8" customFormat="false" ht="15" hidden="false" customHeight="true" outlineLevel="0" collapsed="false">
      <c r="B8" s="27" t="n">
        <v>0.07</v>
      </c>
      <c r="C8" s="15" t="n">
        <v>0.15</v>
      </c>
      <c r="D8" s="15" t="n">
        <v>0.13</v>
      </c>
      <c r="E8" s="15" t="n">
        <v>0.11</v>
      </c>
      <c r="F8" s="15" t="n">
        <v>0.09</v>
      </c>
      <c r="G8" s="15" t="n">
        <v>0.08</v>
      </c>
    </row>
    <row r="9" customFormat="false" ht="15" hidden="false" customHeight="true" outlineLevel="0" collapsed="false">
      <c r="B9" s="27" t="n">
        <v>0.075</v>
      </c>
      <c r="C9" s="15" t="n">
        <v>0.14</v>
      </c>
      <c r="D9" s="15" t="n">
        <v>0.12</v>
      </c>
      <c r="E9" s="15" t="n">
        <v>0.1</v>
      </c>
      <c r="F9" s="15" t="n">
        <v>0.08</v>
      </c>
      <c r="G9" s="15" t="n">
        <v>0.07</v>
      </c>
    </row>
    <row r="12" customFormat="false" ht="15" hidden="false" customHeight="true" outlineLevel="0" collapsed="false">
      <c r="A12" s="3" t="s">
        <v>115</v>
      </c>
    </row>
    <row r="13" customFormat="false" ht="15" hidden="false" customHeight="true" outlineLevel="0" collapsed="false">
      <c r="B13" s="19" t="s">
        <v>116</v>
      </c>
      <c r="C13" s="20" t="n">
        <v>16</v>
      </c>
      <c r="D13" s="20" t="n">
        <v>17</v>
      </c>
      <c r="E13" s="20" t="n">
        <v>18</v>
      </c>
      <c r="F13" s="20" t="n">
        <v>19</v>
      </c>
      <c r="G13" s="20" t="n">
        <v>20</v>
      </c>
    </row>
    <row r="14" customFormat="false" ht="15" hidden="false" customHeight="true" outlineLevel="0" collapsed="false">
      <c r="A14" s="19" t="s">
        <v>117</v>
      </c>
      <c r="B14" s="27" t="n">
        <v>0.85</v>
      </c>
      <c r="C14" s="15" t="n">
        <v>0.04</v>
      </c>
      <c r="D14" s="15" t="n">
        <v>0.05</v>
      </c>
      <c r="E14" s="15" t="n">
        <v>0.06</v>
      </c>
      <c r="F14" s="15" t="n">
        <v>0.07</v>
      </c>
      <c r="G14" s="15" t="n">
        <v>0.08</v>
      </c>
    </row>
    <row r="15" customFormat="false" ht="15" hidden="false" customHeight="true" outlineLevel="0" collapsed="false">
      <c r="B15" s="27" t="n">
        <v>0.9</v>
      </c>
      <c r="C15" s="15" t="n">
        <v>0.05</v>
      </c>
      <c r="D15" s="15" t="n">
        <v>0.06</v>
      </c>
      <c r="E15" s="15" t="n">
        <v>0.07</v>
      </c>
      <c r="F15" s="15" t="n">
        <v>0.08</v>
      </c>
      <c r="G15" s="15" t="n">
        <v>0.09</v>
      </c>
    </row>
    <row r="16" customFormat="false" ht="15" hidden="false" customHeight="true" outlineLevel="0" collapsed="false">
      <c r="B16" s="27" t="n">
        <v>0.95</v>
      </c>
      <c r="C16" s="15" t="n">
        <v>0.06</v>
      </c>
      <c r="D16" s="15" t="n">
        <v>0.07</v>
      </c>
      <c r="E16" s="15" t="n">
        <f aca="false">Returns!B31</f>
        <v>0.0168799046486828</v>
      </c>
      <c r="F16" s="15" t="n">
        <v>0.09</v>
      </c>
      <c r="G16" s="15" t="n">
        <v>0.1</v>
      </c>
    </row>
    <row r="17" customFormat="false" ht="15" hidden="false" customHeight="true" outlineLevel="0" collapsed="false">
      <c r="B17" s="27" t="n">
        <v>1</v>
      </c>
      <c r="C17" s="15" t="n">
        <v>0.07</v>
      </c>
      <c r="D17" s="15" t="n">
        <v>0.08</v>
      </c>
      <c r="E17" s="15" t="n">
        <v>0.09</v>
      </c>
      <c r="F17" s="15" t="n">
        <v>0.1</v>
      </c>
      <c r="G17" s="15" t="n">
        <v>0.11</v>
      </c>
    </row>
    <row r="20" customFormat="false" ht="15" hidden="false" customHeight="true" outlineLevel="0" collapsed="false">
      <c r="A20" s="3" t="s">
        <v>118</v>
      </c>
    </row>
    <row r="21" customFormat="false" ht="15" hidden="false" customHeight="true" outlineLevel="0" collapsed="false">
      <c r="A21" s="1" t="s">
        <v>119</v>
      </c>
    </row>
    <row r="22" customFormat="false" ht="15" hidden="false" customHeight="true" outlineLevel="0" collapsed="false">
      <c r="A22" s="1" t="s">
        <v>120</v>
      </c>
    </row>
    <row r="23" customFormat="false" ht="15" hidden="false" customHeight="true" outlineLevel="0" collapsed="false">
      <c r="A23" s="1" t="s">
        <v>121</v>
      </c>
    </row>
    <row r="24" customFormat="false" ht="15" hidden="false" customHeight="true" outlineLevel="0" collapsed="false">
      <c r="A24" s="1" t="s">
        <v>122</v>
      </c>
    </row>
    <row r="25" customFormat="false" ht="15" hidden="false" customHeight="true" outlineLevel="0" collapsed="false">
      <c r="A25" s="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2025-11-30T21:14:44Z</dcterms:created>
  <dc:creator>openpyxl</dc:creator>
  <dc:description/>
  <dc:language>en-US</dc:language>
  <cp:lastModifiedBy/>
  <dcterms:modified xsi:type="dcterms:W3CDTF">2025-11-30T23:16:32Z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